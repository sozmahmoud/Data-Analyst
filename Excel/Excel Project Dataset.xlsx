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sozma\Downloads\data analyst course\excel\"/>
    </mc:Choice>
  </mc:AlternateContent>
  <xr:revisionPtr revIDLastSave="0" documentId="13_ncr:1_{33DE3616-F0FD-4B6C-BF8C-666EAAAAA931}"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sheet'!$A$1:$N$1027</definedName>
    <definedName name="Slicer_Education">#N/A</definedName>
    <definedName name="Slicer_Martial_status">#N/A</definedName>
    <definedName name="Slicer_Purchased_Bike">#N/A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alcChain>
</file>

<file path=xl/sharedStrings.xml><?xml version="1.0" encoding="utf-8"?>
<sst xmlns="http://schemas.openxmlformats.org/spreadsheetml/2006/main" count="16274" uniqueCount="53">
  <si>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</si>
  <si>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</si>
  <si>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</si>
  <si>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</si>
  <si>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</si>
  <si>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</si>
  <si>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</si>
  <si>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</si>
  <si>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</si>
  <si>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</si>
  <si>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</si>
  <si>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</si>
  <si>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</si>
  <si>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</si>
  <si>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</si>
  <si>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</si>
  <si>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</si>
  <si>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</si>
  <si>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</si>
  <si>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</si>
  <si>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</si>
  <si>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</si>
  <si>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</si>
  <si>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</si>
  <si>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</si>
  <si>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</si>
  <si>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</si>
  <si>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</si>
  <si>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</si>
  <si>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</si>
  <si>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</si>
  <si>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</si>
  <si>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</si>
  <si>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</si>
  <si>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</si>
  <si>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</si>
  <si>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</si>
  <si>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</si>
  <si>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FeMaleale</t>
  </si>
  <si>
    <t>Male</t>
  </si>
  <si>
    <t>Age Bracket</t>
  </si>
  <si>
    <t>Martial status</t>
  </si>
  <si>
    <t>Row Labels</t>
  </si>
  <si>
    <t>Grand Total</t>
  </si>
  <si>
    <t>Column Labels</t>
  </si>
  <si>
    <t>Average of Income</t>
  </si>
  <si>
    <t>Count of Purchased Bike</t>
  </si>
  <si>
    <t>More Than 10 Miles</t>
  </si>
  <si>
    <t>adolescent</t>
  </si>
  <si>
    <t>invalid</t>
  </si>
  <si>
    <t>middle age</t>
  </si>
  <si>
    <t>old</t>
  </si>
  <si>
    <t xml:space="preserve">Bike Sales Dashborad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</si>
</sst>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2"/>
      <name val="Andalus"/>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pivotButton="1" applyNumberFormat="1"/>
    <xf numFmtId="166" fontId="0" fillId="0" borderId="0" xfId="0" applyNumberFormat="1" applyAlignment="1">
      <alignment horizontal="left"/>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0">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Yes</c:v>
                </c:pt>
              </c:strCache>
            </c:strRef>
          </c:tx>
          <c:spPr>
            <a:solidFill>
              <a:schemeClr val="accent1"/>
            </a:solidFill>
            <a:ln>
              <a:noFill/>
            </a:ln>
            <a:effectLst/>
          </c:spPr>
          <c:invertIfNegative val="0"/>
          <c:cat>
            <c:strRef>
              <c:f>'pivot table'!$A$3:$A$5</c:f>
              <c:strCache>
                <c:ptCount val="2"/>
                <c:pt idx="0">
                  <c:v>FeMaleale</c:v>
                </c:pt>
                <c:pt idx="1">
                  <c:v>Male</c:v>
                </c:pt>
              </c:strCache>
            </c:strRef>
          </c:cat>
          <c:val>
            <c:numRef>
              <c:f>'pivot table'!$B$3:$B$5</c:f>
              <c:numCache>
                <c:formatCode>"$"#,##0</c:formatCode>
                <c:ptCount val="2"/>
                <c:pt idx="0">
                  <c:v>55876.288659793812</c:v>
                </c:pt>
                <c:pt idx="1">
                  <c:v>60333.333333333336</c:v>
                </c:pt>
              </c:numCache>
            </c:numRef>
          </c:val>
          <c:extLst>
            <c:ext xmlns:c16="http://schemas.microsoft.com/office/drawing/2014/chart" uri="{C3380CC4-5D6E-409C-BE32-E72D297353CC}">
              <c16:uniqueId val="{00000000-A217-411A-86B3-460545C5B9B0}"/>
            </c:ext>
          </c:extLst>
        </c:ser>
        <c:dLbls>
          <c:dLblPos val="outEnd"/>
          <c:showLegendKey val="0"/>
          <c:showVal val="0"/>
          <c:showCatName val="0"/>
          <c:showSerName val="0"/>
          <c:showPercent val="0"/>
          <c:showBubbleSize val="0"/>
        </c:dLbls>
        <c:gapWidth val="219"/>
        <c:overlap val="-27"/>
        <c:axId val="452395840"/>
        <c:axId val="452396320"/>
      </c:barChart>
      <c:catAx>
        <c:axId val="452395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396320"/>
        <c:crosses val="autoZero"/>
        <c:auto val="1"/>
        <c:lblAlgn val="ctr"/>
        <c:lblOffset val="100"/>
        <c:noMultiLvlLbl val="0"/>
      </c:catAx>
      <c:valAx>
        <c:axId val="452396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3958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CE3A-4348-97B1-6DA767B3BA32}"/>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CE3A-4348-97B1-6DA767B3BA32}"/>
            </c:ext>
          </c:extLst>
        </c:ser>
        <c:dLbls>
          <c:showLegendKey val="0"/>
          <c:showVal val="0"/>
          <c:showCatName val="0"/>
          <c:showSerName val="0"/>
          <c:showPercent val="0"/>
          <c:showBubbleSize val="0"/>
        </c:dLbls>
        <c:smooth val="0"/>
        <c:axId val="273671856"/>
        <c:axId val="273674736"/>
      </c:lineChart>
      <c:catAx>
        <c:axId val="273671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674736"/>
        <c:crosses val="autoZero"/>
        <c:auto val="1"/>
        <c:lblAlgn val="ctr"/>
        <c:lblOffset val="100"/>
        <c:noMultiLvlLbl val="0"/>
      </c:catAx>
      <c:valAx>
        <c:axId val="27367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67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table'!$A$45:$A$49</c:f>
              <c:strCache>
                <c:ptCount val="4"/>
                <c:pt idx="0">
                  <c:v>adolescent</c:v>
                </c:pt>
                <c:pt idx="1">
                  <c:v>invalid</c:v>
                </c:pt>
                <c:pt idx="2">
                  <c:v>middle age</c:v>
                </c:pt>
                <c:pt idx="3">
                  <c:v>old</c:v>
                </c:pt>
              </c:strCache>
            </c:strRef>
          </c:cat>
          <c:val>
            <c:numRef>
              <c:f>'pivot table'!$B$45:$B$49</c:f>
              <c:numCache>
                <c:formatCode>General</c:formatCode>
                <c:ptCount val="4"/>
                <c:pt idx="0">
                  <c:v>47</c:v>
                </c:pt>
                <c:pt idx="1">
                  <c:v>12</c:v>
                </c:pt>
                <c:pt idx="2">
                  <c:v>121</c:v>
                </c:pt>
                <c:pt idx="3">
                  <c:v>32</c:v>
                </c:pt>
              </c:numCache>
            </c:numRef>
          </c:val>
          <c:smooth val="0"/>
          <c:extLst>
            <c:ext xmlns:c16="http://schemas.microsoft.com/office/drawing/2014/chart" uri="{C3380CC4-5D6E-409C-BE32-E72D297353CC}">
              <c16:uniqueId val="{00000000-49ED-4A2E-8091-29779A72F355}"/>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table'!$A$45:$A$49</c:f>
              <c:strCache>
                <c:ptCount val="4"/>
                <c:pt idx="0">
                  <c:v>adolescent</c:v>
                </c:pt>
                <c:pt idx="1">
                  <c:v>invalid</c:v>
                </c:pt>
                <c:pt idx="2">
                  <c:v>middle age</c:v>
                </c:pt>
                <c:pt idx="3">
                  <c:v>old</c:v>
                </c:pt>
              </c:strCache>
            </c:strRef>
          </c:cat>
          <c:val>
            <c:numRef>
              <c:f>'pivot table'!$C$45:$C$49</c:f>
              <c:numCache>
                <c:formatCode>General</c:formatCode>
                <c:ptCount val="4"/>
                <c:pt idx="0">
                  <c:v>25</c:v>
                </c:pt>
                <c:pt idx="1">
                  <c:v>8</c:v>
                </c:pt>
                <c:pt idx="2">
                  <c:v>191</c:v>
                </c:pt>
                <c:pt idx="3">
                  <c:v>26</c:v>
                </c:pt>
              </c:numCache>
            </c:numRef>
          </c:val>
          <c:smooth val="0"/>
          <c:extLst>
            <c:ext xmlns:c16="http://schemas.microsoft.com/office/drawing/2014/chart" uri="{C3380CC4-5D6E-409C-BE32-E72D297353CC}">
              <c16:uniqueId val="{00000001-49ED-4A2E-8091-29779A72F355}"/>
            </c:ext>
          </c:extLst>
        </c:ser>
        <c:dLbls>
          <c:showLegendKey val="0"/>
          <c:showVal val="0"/>
          <c:showCatName val="0"/>
          <c:showSerName val="0"/>
          <c:showPercent val="0"/>
          <c:showBubbleSize val="0"/>
        </c:dLbls>
        <c:marker val="1"/>
        <c:smooth val="0"/>
        <c:axId val="554666880"/>
        <c:axId val="554658720"/>
      </c:lineChart>
      <c:catAx>
        <c:axId val="554666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58720"/>
        <c:crosses val="autoZero"/>
        <c:auto val="1"/>
        <c:lblAlgn val="ctr"/>
        <c:lblOffset val="100"/>
        <c:noMultiLvlLbl val="0"/>
      </c:catAx>
      <c:valAx>
        <c:axId val="55465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6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table'!$B$68:$B$69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table'!$A$70:$A$117</c:f>
              <c:strCache>
                <c:ptCount val="47"/>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65</c:v>
                </c:pt>
                <c:pt idx="40">
                  <c:v>66</c:v>
                </c:pt>
                <c:pt idx="41">
                  <c:v>67</c:v>
                </c:pt>
                <c:pt idx="42">
                  <c:v>68</c:v>
                </c:pt>
                <c:pt idx="43">
                  <c:v>69</c:v>
                </c:pt>
                <c:pt idx="44">
                  <c:v>73</c:v>
                </c:pt>
                <c:pt idx="45">
                  <c:v>74</c:v>
                </c:pt>
                <c:pt idx="46">
                  <c:v>78</c:v>
                </c:pt>
              </c:strCache>
            </c:strRef>
          </c:cat>
          <c:val>
            <c:numRef>
              <c:f>'pivot table'!$B$70:$B$117</c:f>
              <c:numCache>
                <c:formatCode>General</c:formatCode>
                <c:ptCount val="47"/>
                <c:pt idx="0">
                  <c:v>1</c:v>
                </c:pt>
                <c:pt idx="1">
                  <c:v>7</c:v>
                </c:pt>
                <c:pt idx="2">
                  <c:v>9</c:v>
                </c:pt>
                <c:pt idx="3">
                  <c:v>8</c:v>
                </c:pt>
                <c:pt idx="4">
                  <c:v>7</c:v>
                </c:pt>
                <c:pt idx="5">
                  <c:v>15</c:v>
                </c:pt>
                <c:pt idx="6">
                  <c:v>12</c:v>
                </c:pt>
                <c:pt idx="7">
                  <c:v>9</c:v>
                </c:pt>
                <c:pt idx="8">
                  <c:v>5</c:v>
                </c:pt>
                <c:pt idx="9">
                  <c:v>7</c:v>
                </c:pt>
                <c:pt idx="10">
                  <c:v>10</c:v>
                </c:pt>
                <c:pt idx="11">
                  <c:v>4</c:v>
                </c:pt>
                <c:pt idx="12">
                  <c:v>1</c:v>
                </c:pt>
                <c:pt idx="13">
                  <c:v>5</c:v>
                </c:pt>
                <c:pt idx="14">
                  <c:v>4</c:v>
                </c:pt>
                <c:pt idx="15">
                  <c:v>9</c:v>
                </c:pt>
                <c:pt idx="16">
                  <c:v>3</c:v>
                </c:pt>
                <c:pt idx="17">
                  <c:v>9</c:v>
                </c:pt>
                <c:pt idx="18">
                  <c:v>7</c:v>
                </c:pt>
                <c:pt idx="19">
                  <c:v>7</c:v>
                </c:pt>
                <c:pt idx="20">
                  <c:v>6</c:v>
                </c:pt>
                <c:pt idx="22">
                  <c:v>5</c:v>
                </c:pt>
                <c:pt idx="23">
                  <c:v>6</c:v>
                </c:pt>
                <c:pt idx="24">
                  <c:v>5</c:v>
                </c:pt>
                <c:pt idx="25">
                  <c:v>7</c:v>
                </c:pt>
                <c:pt idx="26">
                  <c:v>4</c:v>
                </c:pt>
                <c:pt idx="27">
                  <c:v>4</c:v>
                </c:pt>
                <c:pt idx="28">
                  <c:v>2</c:v>
                </c:pt>
                <c:pt idx="30">
                  <c:v>2</c:v>
                </c:pt>
                <c:pt idx="31">
                  <c:v>5</c:v>
                </c:pt>
                <c:pt idx="32">
                  <c:v>4</c:v>
                </c:pt>
                <c:pt idx="33">
                  <c:v>2</c:v>
                </c:pt>
                <c:pt idx="34">
                  <c:v>2</c:v>
                </c:pt>
                <c:pt idx="36">
                  <c:v>1</c:v>
                </c:pt>
                <c:pt idx="37">
                  <c:v>4</c:v>
                </c:pt>
                <c:pt idx="38">
                  <c:v>2</c:v>
                </c:pt>
                <c:pt idx="39">
                  <c:v>1</c:v>
                </c:pt>
                <c:pt idx="40">
                  <c:v>2</c:v>
                </c:pt>
                <c:pt idx="41">
                  <c:v>4</c:v>
                </c:pt>
                <c:pt idx="42">
                  <c:v>2</c:v>
                </c:pt>
                <c:pt idx="43">
                  <c:v>1</c:v>
                </c:pt>
                <c:pt idx="44">
                  <c:v>1</c:v>
                </c:pt>
                <c:pt idx="46">
                  <c:v>1</c:v>
                </c:pt>
              </c:numCache>
            </c:numRef>
          </c:val>
          <c:smooth val="0"/>
          <c:extLst>
            <c:ext xmlns:c16="http://schemas.microsoft.com/office/drawing/2014/chart" uri="{C3380CC4-5D6E-409C-BE32-E72D297353CC}">
              <c16:uniqueId val="{00000000-B68E-4B42-A8F8-F9F5B44881E1}"/>
            </c:ext>
          </c:extLst>
        </c:ser>
        <c:ser>
          <c:idx val="1"/>
          <c:order val="1"/>
          <c:tx>
            <c:strRef>
              <c:f>'pivot table'!$C$68:$C$69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table'!$A$70:$A$117</c:f>
              <c:strCache>
                <c:ptCount val="47"/>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65</c:v>
                </c:pt>
                <c:pt idx="40">
                  <c:v>66</c:v>
                </c:pt>
                <c:pt idx="41">
                  <c:v>67</c:v>
                </c:pt>
                <c:pt idx="42">
                  <c:v>68</c:v>
                </c:pt>
                <c:pt idx="43">
                  <c:v>69</c:v>
                </c:pt>
                <c:pt idx="44">
                  <c:v>73</c:v>
                </c:pt>
                <c:pt idx="45">
                  <c:v>74</c:v>
                </c:pt>
                <c:pt idx="46">
                  <c:v>78</c:v>
                </c:pt>
              </c:strCache>
            </c:strRef>
          </c:cat>
          <c:val>
            <c:numRef>
              <c:f>'pivot table'!$C$70:$C$117</c:f>
              <c:numCache>
                <c:formatCode>General</c:formatCode>
                <c:ptCount val="47"/>
                <c:pt idx="0">
                  <c:v>2</c:v>
                </c:pt>
                <c:pt idx="1">
                  <c:v>4</c:v>
                </c:pt>
                <c:pt idx="2">
                  <c:v>4</c:v>
                </c:pt>
                <c:pt idx="3">
                  <c:v>7</c:v>
                </c:pt>
                <c:pt idx="4">
                  <c:v>4</c:v>
                </c:pt>
                <c:pt idx="5">
                  <c:v>4</c:v>
                </c:pt>
                <c:pt idx="6">
                  <c:v>8</c:v>
                </c:pt>
                <c:pt idx="7">
                  <c:v>6</c:v>
                </c:pt>
                <c:pt idx="8">
                  <c:v>8</c:v>
                </c:pt>
                <c:pt idx="9">
                  <c:v>8</c:v>
                </c:pt>
                <c:pt idx="10">
                  <c:v>9</c:v>
                </c:pt>
                <c:pt idx="11">
                  <c:v>17</c:v>
                </c:pt>
                <c:pt idx="12">
                  <c:v>16</c:v>
                </c:pt>
                <c:pt idx="13">
                  <c:v>19</c:v>
                </c:pt>
                <c:pt idx="14">
                  <c:v>10</c:v>
                </c:pt>
                <c:pt idx="15">
                  <c:v>8</c:v>
                </c:pt>
                <c:pt idx="16">
                  <c:v>11</c:v>
                </c:pt>
                <c:pt idx="17">
                  <c:v>7</c:v>
                </c:pt>
                <c:pt idx="18">
                  <c:v>9</c:v>
                </c:pt>
                <c:pt idx="19">
                  <c:v>4</c:v>
                </c:pt>
                <c:pt idx="20">
                  <c:v>5</c:v>
                </c:pt>
                <c:pt idx="21">
                  <c:v>8</c:v>
                </c:pt>
                <c:pt idx="22">
                  <c:v>11</c:v>
                </c:pt>
                <c:pt idx="23">
                  <c:v>2</c:v>
                </c:pt>
                <c:pt idx="24">
                  <c:v>3</c:v>
                </c:pt>
                <c:pt idx="25">
                  <c:v>4</c:v>
                </c:pt>
                <c:pt idx="26">
                  <c:v>5</c:v>
                </c:pt>
                <c:pt idx="27">
                  <c:v>8</c:v>
                </c:pt>
                <c:pt idx="28">
                  <c:v>8</c:v>
                </c:pt>
                <c:pt idx="29">
                  <c:v>4</c:v>
                </c:pt>
                <c:pt idx="30">
                  <c:v>1</c:v>
                </c:pt>
                <c:pt idx="33">
                  <c:v>2</c:v>
                </c:pt>
                <c:pt idx="34">
                  <c:v>4</c:v>
                </c:pt>
                <c:pt idx="35">
                  <c:v>7</c:v>
                </c:pt>
                <c:pt idx="36">
                  <c:v>1</c:v>
                </c:pt>
                <c:pt idx="37">
                  <c:v>4</c:v>
                </c:pt>
                <c:pt idx="38">
                  <c:v>1</c:v>
                </c:pt>
                <c:pt idx="39">
                  <c:v>2</c:v>
                </c:pt>
                <c:pt idx="40">
                  <c:v>2</c:v>
                </c:pt>
                <c:pt idx="41">
                  <c:v>1</c:v>
                </c:pt>
                <c:pt idx="44">
                  <c:v>1</c:v>
                </c:pt>
                <c:pt idx="45">
                  <c:v>1</c:v>
                </c:pt>
              </c:numCache>
            </c:numRef>
          </c:val>
          <c:smooth val="0"/>
          <c:extLst>
            <c:ext xmlns:c16="http://schemas.microsoft.com/office/drawing/2014/chart" uri="{C3380CC4-5D6E-409C-BE32-E72D297353CC}">
              <c16:uniqueId val="{00000001-B68E-4B42-A8F8-F9F5B44881E1}"/>
            </c:ext>
          </c:extLst>
        </c:ser>
        <c:dLbls>
          <c:showLegendKey val="0"/>
          <c:showVal val="0"/>
          <c:showCatName val="0"/>
          <c:showSerName val="0"/>
          <c:showPercent val="0"/>
          <c:showBubbleSize val="0"/>
        </c:dLbls>
        <c:marker val="1"/>
        <c:smooth val="0"/>
        <c:axId val="554660160"/>
        <c:axId val="554664000"/>
      </c:lineChart>
      <c:catAx>
        <c:axId val="55466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64000"/>
        <c:crosses val="autoZero"/>
        <c:auto val="1"/>
        <c:lblAlgn val="ctr"/>
        <c:lblOffset val="100"/>
        <c:noMultiLvlLbl val="0"/>
      </c:catAx>
      <c:valAx>
        <c:axId val="55466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6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Yes</c:v>
                </c:pt>
              </c:strCache>
            </c:strRef>
          </c:tx>
          <c:spPr>
            <a:solidFill>
              <a:schemeClr val="accent1"/>
            </a:solidFill>
            <a:ln>
              <a:noFill/>
            </a:ln>
            <a:effectLst/>
          </c:spPr>
          <c:invertIfNegative val="0"/>
          <c:cat>
            <c:strRef>
              <c:f>'pivot table'!$A$3:$A$5</c:f>
              <c:strCache>
                <c:ptCount val="2"/>
                <c:pt idx="0">
                  <c:v>FeMaleale</c:v>
                </c:pt>
                <c:pt idx="1">
                  <c:v>Male</c:v>
                </c:pt>
              </c:strCache>
            </c:strRef>
          </c:cat>
          <c:val>
            <c:numRef>
              <c:f>'pivot table'!$B$3:$B$5</c:f>
              <c:numCache>
                <c:formatCode>"$"#,##0</c:formatCode>
                <c:ptCount val="2"/>
                <c:pt idx="0">
                  <c:v>55876.288659793812</c:v>
                </c:pt>
                <c:pt idx="1">
                  <c:v>60333.333333333336</c:v>
                </c:pt>
              </c:numCache>
            </c:numRef>
          </c:val>
          <c:extLst>
            <c:ext xmlns:c16="http://schemas.microsoft.com/office/drawing/2014/chart" uri="{C3380CC4-5D6E-409C-BE32-E72D297353CC}">
              <c16:uniqueId val="{00000000-A757-44CC-8E83-CAC2C96FEDCF}"/>
            </c:ext>
          </c:extLst>
        </c:ser>
        <c:dLbls>
          <c:showLegendKey val="0"/>
          <c:showVal val="0"/>
          <c:showCatName val="0"/>
          <c:showSerName val="0"/>
          <c:showPercent val="0"/>
          <c:showBubbleSize val="0"/>
        </c:dLbls>
        <c:gapWidth val="219"/>
        <c:overlap val="-27"/>
        <c:axId val="452395840"/>
        <c:axId val="452396320"/>
      </c:barChart>
      <c:catAx>
        <c:axId val="452395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396320"/>
        <c:crosses val="autoZero"/>
        <c:auto val="1"/>
        <c:lblAlgn val="ctr"/>
        <c:lblOffset val="100"/>
        <c:noMultiLvlLbl val="0"/>
      </c:catAx>
      <c:valAx>
        <c:axId val="452396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3958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ADCD-46B3-9936-8BC058BB0282}"/>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ADCD-46B3-9936-8BC058BB0282}"/>
            </c:ext>
          </c:extLst>
        </c:ser>
        <c:dLbls>
          <c:showLegendKey val="0"/>
          <c:showVal val="0"/>
          <c:showCatName val="0"/>
          <c:showSerName val="0"/>
          <c:showPercent val="0"/>
          <c:showBubbleSize val="0"/>
        </c:dLbls>
        <c:smooth val="0"/>
        <c:axId val="273671856"/>
        <c:axId val="273674736"/>
      </c:lineChart>
      <c:catAx>
        <c:axId val="273671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674736"/>
        <c:crosses val="autoZero"/>
        <c:auto val="1"/>
        <c:lblAlgn val="ctr"/>
        <c:lblOffset val="100"/>
        <c:noMultiLvlLbl val="0"/>
      </c:catAx>
      <c:valAx>
        <c:axId val="27367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67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table'!$A$45:$A$49</c:f>
              <c:strCache>
                <c:ptCount val="4"/>
                <c:pt idx="0">
                  <c:v>adolescent</c:v>
                </c:pt>
                <c:pt idx="1">
                  <c:v>invalid</c:v>
                </c:pt>
                <c:pt idx="2">
                  <c:v>middle age</c:v>
                </c:pt>
                <c:pt idx="3">
                  <c:v>old</c:v>
                </c:pt>
              </c:strCache>
            </c:strRef>
          </c:cat>
          <c:val>
            <c:numRef>
              <c:f>'pivot table'!$B$45:$B$49</c:f>
              <c:numCache>
                <c:formatCode>General</c:formatCode>
                <c:ptCount val="4"/>
                <c:pt idx="0">
                  <c:v>47</c:v>
                </c:pt>
                <c:pt idx="1">
                  <c:v>12</c:v>
                </c:pt>
                <c:pt idx="2">
                  <c:v>121</c:v>
                </c:pt>
                <c:pt idx="3">
                  <c:v>32</c:v>
                </c:pt>
              </c:numCache>
            </c:numRef>
          </c:val>
          <c:smooth val="0"/>
          <c:extLst>
            <c:ext xmlns:c16="http://schemas.microsoft.com/office/drawing/2014/chart" uri="{C3380CC4-5D6E-409C-BE32-E72D297353CC}">
              <c16:uniqueId val="{00000000-A064-4C21-B716-BC0CE21C071D}"/>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table'!$A$45:$A$49</c:f>
              <c:strCache>
                <c:ptCount val="4"/>
                <c:pt idx="0">
                  <c:v>adolescent</c:v>
                </c:pt>
                <c:pt idx="1">
                  <c:v>invalid</c:v>
                </c:pt>
                <c:pt idx="2">
                  <c:v>middle age</c:v>
                </c:pt>
                <c:pt idx="3">
                  <c:v>old</c:v>
                </c:pt>
              </c:strCache>
            </c:strRef>
          </c:cat>
          <c:val>
            <c:numRef>
              <c:f>'pivot table'!$C$45:$C$49</c:f>
              <c:numCache>
                <c:formatCode>General</c:formatCode>
                <c:ptCount val="4"/>
                <c:pt idx="0">
                  <c:v>25</c:v>
                </c:pt>
                <c:pt idx="1">
                  <c:v>8</c:v>
                </c:pt>
                <c:pt idx="2">
                  <c:v>191</c:v>
                </c:pt>
                <c:pt idx="3">
                  <c:v>26</c:v>
                </c:pt>
              </c:numCache>
            </c:numRef>
          </c:val>
          <c:smooth val="0"/>
          <c:extLst>
            <c:ext xmlns:c16="http://schemas.microsoft.com/office/drawing/2014/chart" uri="{C3380CC4-5D6E-409C-BE32-E72D297353CC}">
              <c16:uniqueId val="{00000001-A064-4C21-B716-BC0CE21C071D}"/>
            </c:ext>
          </c:extLst>
        </c:ser>
        <c:dLbls>
          <c:showLegendKey val="0"/>
          <c:showVal val="0"/>
          <c:showCatName val="0"/>
          <c:showSerName val="0"/>
          <c:showPercent val="0"/>
          <c:showBubbleSize val="0"/>
        </c:dLbls>
        <c:marker val="1"/>
        <c:smooth val="0"/>
        <c:axId val="554666880"/>
        <c:axId val="554658720"/>
      </c:lineChart>
      <c:catAx>
        <c:axId val="554666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58720"/>
        <c:crosses val="autoZero"/>
        <c:auto val="1"/>
        <c:lblAlgn val="ctr"/>
        <c:lblOffset val="100"/>
        <c:noMultiLvlLbl val="0"/>
      </c:catAx>
      <c:valAx>
        <c:axId val="55465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6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63500</xdr:rowOff>
    </xdr:from>
    <xdr:to>
      <xdr:col>13</xdr:col>
      <xdr:colOff>177800</xdr:colOff>
      <xdr:row>15</xdr:row>
      <xdr:rowOff>44450</xdr:rowOff>
    </xdr:to>
    <xdr:graphicFrame macro="">
      <xdr:nvGraphicFramePr>
        <xdr:cNvPr id="2" name="Chart 1">
          <a:extLst>
            <a:ext uri="{FF2B5EF4-FFF2-40B4-BE49-F238E27FC236}">
              <a16:creationId xmlns:a16="http://schemas.microsoft.com/office/drawing/2014/main" id="{7B5585E3-6B95-6086-3D5F-DDBF6F2D8B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122084</xdr:colOff>
      <xdr:row>24</xdr:row>
      <xdr:rowOff>90334</xdr:rowOff>
    </xdr:from>
    <xdr:to>
      <xdr:col>12</xdr:col>
      <xdr:colOff>426884</xdr:colOff>
      <xdr:row>39</xdr:row>
      <xdr:rowOff>71284</xdr:rowOff>
    </xdr:to>
    <xdr:graphicFrame macro="">
      <xdr:nvGraphicFramePr>
        <xdr:cNvPr id="3" name="Chart 2">
          <a:extLst>
            <a:ext uri="{FF2B5EF4-FFF2-40B4-BE49-F238E27FC236}">
              <a16:creationId xmlns:a16="http://schemas.microsoft.com/office/drawing/2014/main" id="{DF7CCCBC-3233-1AE6-B315-B187DCDE6D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165100</xdr:colOff>
      <xdr:row>40</xdr:row>
      <xdr:rowOff>127000</xdr:rowOff>
    </xdr:from>
    <xdr:to>
      <xdr:col>12</xdr:col>
      <xdr:colOff>469900</xdr:colOff>
      <xdr:row>55</xdr:row>
      <xdr:rowOff>107950</xdr:rowOff>
    </xdr:to>
    <xdr:graphicFrame macro="">
      <xdr:nvGraphicFramePr>
        <xdr:cNvPr id="4" name="Chart 3">
          <a:extLst>
            <a:ext uri="{FF2B5EF4-FFF2-40B4-BE49-F238E27FC236}">
              <a16:creationId xmlns:a16="http://schemas.microsoft.com/office/drawing/2014/main" id="{5ECDF6AB-CE94-1C3E-8F54-80A68592F2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133350</xdr:colOff>
      <xdr:row>66</xdr:row>
      <xdr:rowOff>133146</xdr:rowOff>
    </xdr:from>
    <xdr:to>
      <xdr:col>15</xdr:col>
      <xdr:colOff>122903</xdr:colOff>
      <xdr:row>87</xdr:row>
      <xdr:rowOff>40968</xdr:rowOff>
    </xdr:to>
    <xdr:graphicFrame macro="">
      <xdr:nvGraphicFramePr>
        <xdr:cNvPr id="5" name="Chart 4">
          <a:extLst>
            <a:ext uri="{FF2B5EF4-FFF2-40B4-BE49-F238E27FC236}">
              <a16:creationId xmlns:a16="http://schemas.microsoft.com/office/drawing/2014/main" id="{8696424D-D550-FB9F-C62F-19D3654B16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483791</xdr:colOff>
      <xdr:row>6</xdr:row>
      <xdr:rowOff>18798</xdr:rowOff>
    </xdr:from>
    <xdr:to>
      <xdr:col>15</xdr:col>
      <xdr:colOff>560428</xdr:colOff>
      <xdr:row>18</xdr:row>
      <xdr:rowOff>47924</xdr:rowOff>
    </xdr:to>
    <xdr:graphicFrame macro="">
      <xdr:nvGraphicFramePr>
        <xdr:cNvPr id="4" name="Chart 3">
          <a:extLst>
            <a:ext uri="{FF2B5EF4-FFF2-40B4-BE49-F238E27FC236}">
              <a16:creationId xmlns:a16="http://schemas.microsoft.com/office/drawing/2014/main" id="{59D2EA8B-C12B-4EB1-B500-DF2FA4292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458196</xdr:colOff>
      <xdr:row>18</xdr:row>
      <xdr:rowOff>56669</xdr:rowOff>
    </xdr:from>
    <xdr:to>
      <xdr:col>22</xdr:col>
      <xdr:colOff>1618</xdr:colOff>
      <xdr:row>32</xdr:row>
      <xdr:rowOff>143773</xdr:rowOff>
    </xdr:to>
    <xdr:graphicFrame macro="">
      <xdr:nvGraphicFramePr>
        <xdr:cNvPr id="6" name="Chart 5">
          <a:extLst>
            <a:ext uri="{FF2B5EF4-FFF2-40B4-BE49-F238E27FC236}">
              <a16:creationId xmlns:a16="http://schemas.microsoft.com/office/drawing/2014/main" id="{192B8A17-0BD7-4BE3-842C-9DA360005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602678</xdr:colOff>
      <xdr:row>6</xdr:row>
      <xdr:rowOff>18798</xdr:rowOff>
    </xdr:from>
    <xdr:to>
      <xdr:col>21</xdr:col>
      <xdr:colOff>602678</xdr:colOff>
      <xdr:row>18</xdr:row>
      <xdr:rowOff>47924</xdr:rowOff>
    </xdr:to>
    <xdr:graphicFrame macro="">
      <xdr:nvGraphicFramePr>
        <xdr:cNvPr id="8" name="Chart 7">
          <a:extLst>
            <a:ext uri="{FF2B5EF4-FFF2-40B4-BE49-F238E27FC236}">
              <a16:creationId xmlns:a16="http://schemas.microsoft.com/office/drawing/2014/main" id="{C3ECF534-8439-42C7-9F42-E8A8E9B3E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51536</xdr:rowOff>
    </xdr:from>
    <xdr:to>
      <xdr:col>8</xdr:col>
      <xdr:colOff>431320</xdr:colOff>
      <xdr:row>11</xdr:row>
      <xdr:rowOff>143773</xdr:rowOff>
    </xdr:to>
    <mc:AlternateContent xmlns:mc="http://schemas.openxmlformats.org/markup-compatibility/2006">
      <mc:Choice xmlns:a14="http://schemas.microsoft.com/office/drawing/2010/main" Requires="a14">
        <xdr:graphicFrame macro="">
          <xdr:nvGraphicFramePr>
            <xdr:cNvPr id="9" name="Martial status">
              <a:extLst>
                <a:ext uri="{FF2B5EF4-FFF2-40B4-BE49-F238E27FC236}">
                  <a16:creationId xmlns:a16="http://schemas.microsoft.com/office/drawing/2014/main" id="{B01194FB-7A65-C713-93D6-33F0C68DBF21}"/>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dr:sp macro="" textlink="">
          <xdr:nvSpPr>
            <xdr:cNvPr id="0" name=""/>
            <xdr:cNvSpPr>
              <a:spLocks noTextEdit="1"/>
            </xdr:cNvSpPr>
          </xdr:nvSpPr>
          <xdr:spPr>
            <a:xfrm>
              <a:off x="0" y="1175798"/>
              <a:ext cx="5344763" cy="10291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131792</xdr:rowOff>
    </xdr:from>
    <xdr:to>
      <xdr:col>8</xdr:col>
      <xdr:colOff>431321</xdr:colOff>
      <xdr:row>32</xdr:row>
      <xdr:rowOff>131793</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207BE520-8474-D346-34E6-42D54BC4BE1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4441464"/>
              <a:ext cx="5344764" cy="16863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131792</xdr:rowOff>
    </xdr:from>
    <xdr:to>
      <xdr:col>8</xdr:col>
      <xdr:colOff>431321</xdr:colOff>
      <xdr:row>18</xdr:row>
      <xdr:rowOff>35943</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CB876398-2ED8-8050-F487-0283C94BF13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92940"/>
              <a:ext cx="5344764" cy="12157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35345</xdr:rowOff>
    </xdr:from>
    <xdr:to>
      <xdr:col>8</xdr:col>
      <xdr:colOff>407358</xdr:colOff>
      <xdr:row>23</xdr:row>
      <xdr:rowOff>47925</xdr:rowOff>
    </xdr:to>
    <mc:AlternateContent xmlns:mc="http://schemas.openxmlformats.org/markup-compatibility/2006">
      <mc:Choice xmlns:a14="http://schemas.microsoft.com/office/drawing/2010/main" Requires="a14">
        <xdr:graphicFrame macro="">
          <xdr:nvGraphicFramePr>
            <xdr:cNvPr id="12" name="Purchased Bike">
              <a:extLst>
                <a:ext uri="{FF2B5EF4-FFF2-40B4-BE49-F238E27FC236}">
                  <a16:creationId xmlns:a16="http://schemas.microsoft.com/office/drawing/2014/main" id="{2A662A22-633E-94A1-946A-6F9316EE2FE1}"/>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0" y="3408132"/>
              <a:ext cx="5320801" cy="9494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z mahmoud" refreshedDate="46273.081320486112" createdVersion="8" refreshedVersion="8" minRefreshableVersion="3" recordCount="1026" xr:uid="{637EDDE9-634D-4CA2-AE72-E5CB29AF2459}">
  <cacheSource type="worksheet">
    <worksheetSource ref="A1:N1027" sheet="working sheet"/>
  </cacheSource>
  <cacheFields count="14">
    <cacheField name="ID" numFmtId="0">
      <sharedItems containsString="0" containsBlank="1" containsNumber="1" containsInteger="1" minValue="11000" maxValue="29447"/>
    </cacheField>
    <cacheField name="Martial status" numFmtId="0">
      <sharedItems containsBlank="1" count="3">
        <s v="Married"/>
        <s v="Single"/>
        <m/>
      </sharedItems>
    </cacheField>
    <cacheField name="Gender" numFmtId="0">
      <sharedItems containsBlank="1" count="3">
        <s v="FeMaleale"/>
        <s v="Male"/>
        <m/>
      </sharedItems>
    </cacheField>
    <cacheField name="Income" numFmtId="166">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7">
        <s v="0-1 Miles"/>
        <s v="2-5 Miles"/>
        <s v="5-10 Miles"/>
        <s v="1-2 Miles"/>
        <s v="More Than 10 Miles"/>
        <m/>
        <s v="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ount="54">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m/>
      </sharedItems>
    </cacheField>
    <cacheField name="Age Bracket" numFmtId="0">
      <sharedItems count="4">
        <s v="middle age"/>
        <s v="old"/>
        <s v="adolescent"/>
        <s v="invalid"/>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4111876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3"/>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3"/>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3"/>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3"/>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3"/>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3"/>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3"/>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3"/>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3"/>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3"/>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3"/>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3"/>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3"/>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3"/>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3"/>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3"/>
    <x v="1"/>
  </r>
  <r>
    <n v="29106"/>
    <x v="1"/>
    <x v="1"/>
    <n v="40000"/>
    <n v="0"/>
    <x v="2"/>
    <s v="Skilled Manual"/>
    <s v="No"/>
    <n v="2"/>
    <x v="3"/>
    <x v="2"/>
    <x v="23"/>
    <x v="3"/>
    <x v="1"/>
  </r>
  <r>
    <n v="26236"/>
    <x v="0"/>
    <x v="0"/>
    <n v="40000"/>
    <n v="3"/>
    <x v="1"/>
    <s v="Clerical"/>
    <s v="Yes"/>
    <n v="1"/>
    <x v="0"/>
    <x v="2"/>
    <x v="23"/>
    <x v="3"/>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3"/>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3"/>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3"/>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3"/>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3"/>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3"/>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3"/>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64A53F-7BC7-4F92-B583-8B98E4840F42}"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8:D117" firstHeaderRow="1" firstDataRow="2" firstDataCol="1"/>
  <pivotFields count="14">
    <pivotField showAll="0"/>
    <pivotField showAll="0">
      <items count="4">
        <item h="1" x="0"/>
        <item x="1"/>
        <item h="1" x="2"/>
        <item t="default"/>
      </items>
    </pivotField>
    <pivotField showAll="0"/>
    <pivotField showAll="0"/>
    <pivotField showAll="0"/>
    <pivotField showAll="0"/>
    <pivotField showAll="0"/>
    <pivotField showAll="0"/>
    <pivotField showAll="0"/>
    <pivotField showAll="0"/>
    <pivotField showAll="0"/>
    <pivotField axis="axisRow" showAll="0">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x="53"/>
        <item t="default"/>
      </items>
    </pivotField>
    <pivotField showAll="0">
      <items count="5">
        <item x="2"/>
        <item x="3"/>
        <item x="0"/>
        <item x="1"/>
        <item t="default"/>
      </items>
    </pivotField>
    <pivotField axis="axisCol" dataField="1" showAll="0">
      <items count="4">
        <item x="0"/>
        <item x="1"/>
        <item x="2"/>
        <item t="default"/>
      </items>
    </pivotField>
  </pivotFields>
  <rowFields count="1">
    <field x="11"/>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40"/>
    </i>
    <i>
      <x v="41"/>
    </i>
    <i>
      <x v="42"/>
    </i>
    <i>
      <x v="43"/>
    </i>
    <i>
      <x v="44"/>
    </i>
    <i>
      <x v="48"/>
    </i>
    <i>
      <x v="49"/>
    </i>
    <i>
      <x v="50"/>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04F9DA-FC02-42F2-A138-6D925E11ED1C}"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3:D49" firstHeaderRow="1" firstDataRow="2" firstDataCol="1"/>
  <pivotFields count="14">
    <pivotField showAll="0"/>
    <pivotField showAll="0">
      <items count="4">
        <item h="1" x="0"/>
        <item x="1"/>
        <item h="1" x="2"/>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axis="axisCol" dataField="1" showAll="0">
      <items count="4">
        <item x="0"/>
        <item x="1"/>
        <item x="2"/>
        <item t="default"/>
      </items>
    </pivotField>
  </pivotFields>
  <rowFields count="1">
    <field x="12"/>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74AB05-08C1-4751-A298-2EFDCE5843C0}"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5:D32" firstHeaderRow="1" firstDataRow="2" firstDataCol="1"/>
  <pivotFields count="14">
    <pivotField showAll="0"/>
    <pivotField showAll="0">
      <items count="4">
        <item h="1" x="0"/>
        <item x="1"/>
        <item h="1" x="2"/>
        <item t="default"/>
      </items>
    </pivotField>
    <pivotField showAll="0"/>
    <pivotField showAll="0"/>
    <pivotField showAll="0"/>
    <pivotField showAll="0"/>
    <pivotField showAll="0"/>
    <pivotField showAll="0"/>
    <pivotField showAll="0"/>
    <pivotField axis="axisRow" showAll="0">
      <items count="8">
        <item x="0"/>
        <item m="1" x="6"/>
        <item x="3"/>
        <item x="1"/>
        <item x="2"/>
        <item x="5"/>
        <item x="4"/>
        <item t="default"/>
      </items>
    </pivotField>
    <pivotField showAll="0"/>
    <pivotField showAll="0"/>
    <pivotField showAll="0"/>
    <pivotField axis="axisCol" dataField="1" showAll="0">
      <items count="4">
        <item x="0"/>
        <item x="1"/>
        <item x="2"/>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7B8494-4EB5-4A25-9A28-DA8171294839}"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C5" firstHeaderRow="1" firstDataRow="2" firstDataCol="1"/>
  <pivotFields count="14">
    <pivotField showAll="0"/>
    <pivotField showAll="0">
      <items count="4">
        <item h="1" x="0"/>
        <item x="1"/>
        <item h="1" x="2"/>
        <item t="default"/>
      </items>
    </pivotField>
    <pivotField axis="axisRow" showAll="0">
      <items count="4">
        <item x="0"/>
        <item x="1"/>
        <item x="2"/>
        <item t="default"/>
      </items>
    </pivotField>
    <pivotField dataField="1" showAll="0"/>
    <pivotField showAll="0"/>
    <pivotField showAll="0">
      <items count="7">
        <item x="0"/>
        <item x="4"/>
        <item x="2"/>
        <item h="1" x="1"/>
        <item x="3"/>
        <item x="5"/>
        <item t="default"/>
      </items>
    </pivotField>
    <pivotField showAll="0"/>
    <pivotField showAll="0"/>
    <pivotField showAll="0"/>
    <pivotField showAll="0"/>
    <pivotField showAll="0">
      <items count="5">
        <item x="0"/>
        <item x="2"/>
        <item x="1"/>
        <item x="3"/>
        <item t="default"/>
      </items>
    </pivotField>
    <pivotField showAll="0"/>
    <pivotField showAll="0"/>
    <pivotField axis="axisCol" showAll="0">
      <items count="4">
        <item h="1" x="0"/>
        <item x="1"/>
        <item h="1" x="2"/>
        <item t="default"/>
      </items>
    </pivotField>
  </pivotFields>
  <rowFields count="1">
    <field x="2"/>
  </rowFields>
  <rowItems count="3">
    <i>
      <x/>
    </i>
    <i>
      <x v="1"/>
    </i>
    <i t="grand">
      <x/>
    </i>
  </rowItems>
  <colFields count="1">
    <field x="13"/>
  </colFields>
  <colItems count="2">
    <i>
      <x v="1"/>
    </i>
    <i t="grand">
      <x/>
    </i>
  </colItems>
  <dataFields count="1">
    <dataField name="Average of Income" fld="3" subtotal="average" baseField="2" baseItem="0" numFmtId="166"/>
  </dataFields>
  <formats count="10">
    <format dxfId="189">
      <pivotArea type="all" dataOnly="0" outline="0" fieldPosition="0"/>
    </format>
    <format dxfId="188">
      <pivotArea outline="0" collapsedLevelsAreSubtotals="1" fieldPosition="0"/>
    </format>
    <format dxfId="187">
      <pivotArea type="origin" dataOnly="0" labelOnly="1" outline="0" fieldPosition="0"/>
    </format>
    <format dxfId="186">
      <pivotArea field="13" type="button" dataOnly="0" labelOnly="1" outline="0" axis="axisCol" fieldPosition="0"/>
    </format>
    <format dxfId="185">
      <pivotArea type="topRight" dataOnly="0" labelOnly="1" outline="0" fieldPosition="0"/>
    </format>
    <format dxfId="184">
      <pivotArea field="2" type="button" dataOnly="0" labelOnly="1" outline="0" axis="axisRow" fieldPosition="0"/>
    </format>
    <format dxfId="183">
      <pivotArea dataOnly="0" labelOnly="1" fieldPosition="0">
        <references count="1">
          <reference field="2" count="0"/>
        </references>
      </pivotArea>
    </format>
    <format dxfId="182">
      <pivotArea dataOnly="0" labelOnly="1" grandRow="1" outline="0" fieldPosition="0"/>
    </format>
    <format dxfId="181">
      <pivotArea dataOnly="0" labelOnly="1" fieldPosition="0">
        <references count="1">
          <reference field="13" count="0"/>
        </references>
      </pivotArea>
    </format>
    <format dxfId="180">
      <pivotArea dataOnly="0" labelOnly="1" grandCol="1" outline="0"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2"/>
          </reference>
        </references>
      </pivotArea>
    </chartFormat>
    <chartFormat chart="4"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DBF84C75-CBC9-4619-8F4C-518EA99F4816}" sourceName="Martial status">
  <pivotTables>
    <pivotTable tabId="3" name="PivotTable1"/>
    <pivotTable tabId="3" name="PivotTable2"/>
    <pivotTable tabId="3" name="PivotTable3"/>
    <pivotTable tabId="3" name="PivotTable4"/>
  </pivotTables>
  <data>
    <tabular pivotCacheId="1411187645">
      <items count="3">
        <i x="0"/>
        <i x="1"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62706D4-7635-4C4A-BD3C-61FF71282E04}" sourceName="Education">
  <pivotTables>
    <pivotTable tabId="3" name="PivotTable1"/>
  </pivotTables>
  <data>
    <tabular pivotCacheId="1411187645">
      <items count="6">
        <i x="0" s="1"/>
        <i x="4" s="1"/>
        <i x="2" s="1"/>
        <i x="1"/>
        <i x="3"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751E778-CCF5-46BA-BA8F-86C54BEAB4AB}" sourceName="Region">
  <pivotTables>
    <pivotTable tabId="3" name="PivotTable1"/>
  </pivotTables>
  <data>
    <tabular pivotCacheId="1411187645">
      <items count="4">
        <i x="0" s="1"/>
        <i x="2" s="1"/>
        <i x="1"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C4A86CFD-5B55-46EB-AAC5-F6221ACA97B7}" sourceName="Purchased Bike">
  <pivotTables>
    <pivotTable tabId="3" name="PivotTable1"/>
  </pivotTables>
  <data>
    <tabular pivotCacheId="1411187645">
      <items count="3">
        <i x="0"/>
        <i x="1"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C81E1E43-4507-46AB-84B9-FE3123166F03}" cache="Slicer_Martial_status" caption="Martial status" rowHeight="241300"/>
  <slicer name="Education" xr10:uid="{93FE0121-7340-49C8-A8D2-249B99E9B0AC}" cache="Slicer_Education" caption="Education" rowHeight="241300"/>
  <slicer name="Region" xr10:uid="{D22BD559-7AF0-4E53-90FA-BF4B9DAAF827}" cache="Slicer_Region" caption="Region" rowHeight="241300"/>
  <slicer name="Purchased Bike" xr10:uid="{FBC1CEF9-3DC9-464C-91CC-2BA14725346E}" cache="Slicer_Purchased_Bike" caption="Purchased Bike"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64" zoomScaleNormal="74" workbookViewId="0">
      <selection activeCell="F7" sqref="F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A6885-11C1-4328-BA5D-A612F4F04A61}">
  <dimension ref="A1:N1027"/>
  <sheetViews>
    <sheetView zoomScale="35" workbookViewId="0">
      <selection activeCell="P27" sqref="P27"/>
    </sheetView>
  </sheetViews>
  <sheetFormatPr defaultColWidth="11.90625" defaultRowHeight="14.5" x14ac:dyDescent="0.35"/>
  <cols>
    <col min="1" max="1" width="21.453125" customWidth="1"/>
    <col min="2" max="2" width="29.1796875" customWidth="1"/>
    <col min="4" max="4" width="11.90625" style="3"/>
    <col min="14" max="14" width="15.453125" customWidth="1"/>
  </cols>
  <sheetData>
    <row r="1" spans="1:14" x14ac:dyDescent="0.35">
      <c r="A1" t="s">
        <v>0</v>
      </c>
      <c r="B1" t="s">
        <v>41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IF(L2&gt;55,"old",IF(L2&gt;31,"middle age",IF(L2&lt;31,"adolescent","invalid")))</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47</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middle age</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middle age</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47</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invalid</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47</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47</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47</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invalid</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47</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middle age</v>
      </c>
      <c r="N96" t="s">
        <v>18</v>
      </c>
    </row>
    <row r="97" spans="1:14" x14ac:dyDescent="0.35">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47</v>
      </c>
      <c r="K124" t="s">
        <v>24</v>
      </c>
      <c r="L124">
        <v>31</v>
      </c>
      <c r="M124" t="str">
        <f t="shared" si="1"/>
        <v>invalid</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middle age</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47</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47</v>
      </c>
      <c r="K180" t="s">
        <v>17</v>
      </c>
      <c r="L180">
        <v>55</v>
      </c>
      <c r="M180" t="str">
        <f t="shared" si="2"/>
        <v>middle age</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middle age</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47</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middle age</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47</v>
      </c>
      <c r="K195" t="s">
        <v>24</v>
      </c>
      <c r="L195">
        <v>41</v>
      </c>
      <c r="M195" t="str">
        <f t="shared" ref="M195:M258" si="3">IF(L195&gt;55,"old",IF(L195&gt;31,"middle age",IF(L195&lt;31,"adolescent","invalid")))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invalid</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47</v>
      </c>
      <c r="K215" t="s">
        <v>24</v>
      </c>
      <c r="L215">
        <v>31</v>
      </c>
      <c r="M215" t="str">
        <f t="shared" si="3"/>
        <v>invalid</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47</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47</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47</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middle age</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invalid</v>
      </c>
      <c r="N254" t="s">
        <v>18</v>
      </c>
    </row>
    <row r="255" spans="1:14" x14ac:dyDescent="0.35">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35">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47</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47</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47</v>
      </c>
      <c r="K320" t="s">
        <v>17</v>
      </c>
      <c r="L320">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47</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invalid</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47</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3">
        <v>100000</v>
      </c>
      <c r="E372">
        <v>4</v>
      </c>
      <c r="F372" t="s">
        <v>13</v>
      </c>
      <c r="G372" t="s">
        <v>21</v>
      </c>
      <c r="H372" t="s">
        <v>15</v>
      </c>
      <c r="I372">
        <v>1</v>
      </c>
      <c r="J372" t="s">
        <v>47</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47</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47</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5">
      <c r="A388">
        <v>28957</v>
      </c>
      <c r="B388" t="s">
        <v>37</v>
      </c>
      <c r="C388" t="s">
        <v>38</v>
      </c>
      <c r="D388" s="3">
        <v>120000</v>
      </c>
      <c r="E388">
        <v>0</v>
      </c>
      <c r="F388" t="s">
        <v>29</v>
      </c>
      <c r="G388" t="s">
        <v>21</v>
      </c>
      <c r="H388" t="s">
        <v>15</v>
      </c>
      <c r="I388">
        <v>4</v>
      </c>
      <c r="J388" t="s">
        <v>47</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3">
        <v>110000</v>
      </c>
      <c r="E402">
        <v>3</v>
      </c>
      <c r="F402" t="s">
        <v>13</v>
      </c>
      <c r="G402" t="s">
        <v>28</v>
      </c>
      <c r="H402" t="s">
        <v>15</v>
      </c>
      <c r="I402">
        <v>4</v>
      </c>
      <c r="J402" t="s">
        <v>47</v>
      </c>
      <c r="K402" t="s">
        <v>17</v>
      </c>
      <c r="L402">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invalid</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middle age</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47</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47</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47</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invalid</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invalid</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invalid</v>
      </c>
      <c r="N494" t="s">
        <v>15</v>
      </c>
    </row>
    <row r="495" spans="1:14" x14ac:dyDescent="0.35">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invalid</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47</v>
      </c>
      <c r="K515" t="s">
        <v>32</v>
      </c>
      <c r="L515">
        <v>61</v>
      </c>
      <c r="M515" t="str">
        <f t="shared" ref="M515:M578" si="8">IF(L515&gt;55,"old",IF(L515&gt;31,"middle age",IF(L515&lt;31,"adolescent","invalid")))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middle age</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47</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invalid</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middle age</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invalid</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47</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47</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middle age</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47</v>
      </c>
      <c r="K643" t="s">
        <v>32</v>
      </c>
      <c r="L643">
        <v>64</v>
      </c>
      <c r="M643" t="str">
        <f t="shared" ref="M643:M706" si="10">IF(L643&gt;55,"old",IF(L643&gt;31,"middle age",IF(L643&lt;31,"adolescent","invalid")))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47</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invalid</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invalid</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invalid</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invalid</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47</v>
      </c>
      <c r="K707" t="s">
        <v>32</v>
      </c>
      <c r="L707">
        <v>59</v>
      </c>
      <c r="M707" t="str">
        <f t="shared" ref="M707:M770" si="11">IF(L707&gt;55,"old",IF(L707&gt;31,"middle age",IF(L707&lt;31,"adolescent","invalid")))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invalid</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3">
        <v>60000</v>
      </c>
      <c r="E741">
        <v>2</v>
      </c>
      <c r="F741" t="s">
        <v>19</v>
      </c>
      <c r="G741" t="s">
        <v>21</v>
      </c>
      <c r="H741" t="s">
        <v>15</v>
      </c>
      <c r="I741">
        <v>1</v>
      </c>
      <c r="J741" t="s">
        <v>47</v>
      </c>
      <c r="K741" t="s">
        <v>32</v>
      </c>
      <c r="L741">
        <v>55</v>
      </c>
      <c r="M741" t="str">
        <f t="shared" si="11"/>
        <v>middle age</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middle age</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3">
        <v>70000</v>
      </c>
      <c r="E777">
        <v>2</v>
      </c>
      <c r="F777" t="s">
        <v>29</v>
      </c>
      <c r="G777" t="s">
        <v>14</v>
      </c>
      <c r="H777" t="s">
        <v>15</v>
      </c>
      <c r="I777">
        <v>2</v>
      </c>
      <c r="J777" t="s">
        <v>47</v>
      </c>
      <c r="K777" t="s">
        <v>32</v>
      </c>
      <c r="L777">
        <v>54</v>
      </c>
      <c r="M777" t="str">
        <f t="shared" si="12"/>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3">
        <v>60000</v>
      </c>
      <c r="E782">
        <v>2</v>
      </c>
      <c r="F782" t="s">
        <v>19</v>
      </c>
      <c r="G782" t="s">
        <v>21</v>
      </c>
      <c r="H782" t="s">
        <v>15</v>
      </c>
      <c r="I782">
        <v>1</v>
      </c>
      <c r="J782" t="s">
        <v>47</v>
      </c>
      <c r="K782" t="s">
        <v>32</v>
      </c>
      <c r="L782">
        <v>55</v>
      </c>
      <c r="M782" t="str">
        <f t="shared" si="12"/>
        <v>middle age</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invalid</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invalid</v>
      </c>
      <c r="N813" t="s">
        <v>18</v>
      </c>
    </row>
    <row r="814" spans="1:14" x14ac:dyDescent="0.35">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47</v>
      </c>
      <c r="K815" t="s">
        <v>32</v>
      </c>
      <c r="L815">
        <v>53</v>
      </c>
      <c r="M815" t="str">
        <f t="shared" si="12"/>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3">
        <v>70000</v>
      </c>
      <c r="E842">
        <v>4</v>
      </c>
      <c r="F842" t="s">
        <v>19</v>
      </c>
      <c r="G842" t="s">
        <v>21</v>
      </c>
      <c r="H842" t="s">
        <v>15</v>
      </c>
      <c r="I842">
        <v>2</v>
      </c>
      <c r="J842" t="s">
        <v>47</v>
      </c>
      <c r="K842" t="s">
        <v>32</v>
      </c>
      <c r="L842">
        <v>53</v>
      </c>
      <c r="M842" t="str">
        <f t="shared" si="13"/>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invalid</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invalid</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3">
        <v>60000</v>
      </c>
      <c r="E868">
        <v>2</v>
      </c>
      <c r="F868" t="s">
        <v>27</v>
      </c>
      <c r="G868" t="s">
        <v>21</v>
      </c>
      <c r="H868" t="s">
        <v>15</v>
      </c>
      <c r="I868">
        <v>2</v>
      </c>
      <c r="J868" t="s">
        <v>47</v>
      </c>
      <c r="K868" t="s">
        <v>32</v>
      </c>
      <c r="L868">
        <v>55</v>
      </c>
      <c r="M868" t="str">
        <f t="shared" si="13"/>
        <v>middle age</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3">
        <v>60000</v>
      </c>
      <c r="E873">
        <v>2</v>
      </c>
      <c r="F873" t="s">
        <v>27</v>
      </c>
      <c r="G873" t="s">
        <v>21</v>
      </c>
      <c r="H873" t="s">
        <v>15</v>
      </c>
      <c r="I873">
        <v>2</v>
      </c>
      <c r="J873" t="s">
        <v>47</v>
      </c>
      <c r="K873" t="s">
        <v>32</v>
      </c>
      <c r="L873">
        <v>55</v>
      </c>
      <c r="M873" t="str">
        <f t="shared" si="13"/>
        <v>middle age</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35">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47</v>
      </c>
      <c r="K901" t="s">
        <v>32</v>
      </c>
      <c r="L901">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3">
        <v>70000</v>
      </c>
      <c r="E951">
        <v>2</v>
      </c>
      <c r="F951" t="s">
        <v>29</v>
      </c>
      <c r="G951" t="s">
        <v>14</v>
      </c>
      <c r="H951" t="s">
        <v>15</v>
      </c>
      <c r="I951">
        <v>2</v>
      </c>
      <c r="J951" t="s">
        <v>47</v>
      </c>
      <c r="K951" t="s">
        <v>32</v>
      </c>
      <c r="L951">
        <v>53</v>
      </c>
      <c r="M951" t="str">
        <f t="shared" si="14"/>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26" si="15">IF(L963&gt;55,"old",IF(L963&gt;31,"middle age",IF(L963&lt;31,"adolescent","invalid")))</f>
        <v>old</v>
      </c>
      <c r="N963" t="s">
        <v>18</v>
      </c>
    </row>
    <row r="964" spans="1:14" x14ac:dyDescent="0.35">
      <c r="A964">
        <v>16813</v>
      </c>
      <c r="B964" t="s">
        <v>36</v>
      </c>
      <c r="C964" t="s">
        <v>39</v>
      </c>
      <c r="D964" s="3">
        <v>60000</v>
      </c>
      <c r="E964">
        <v>2</v>
      </c>
      <c r="F964" t="s">
        <v>19</v>
      </c>
      <c r="G964" t="s">
        <v>21</v>
      </c>
      <c r="H964" t="s">
        <v>15</v>
      </c>
      <c r="I964">
        <v>2</v>
      </c>
      <c r="J964" t="s">
        <v>47</v>
      </c>
      <c r="K964" t="s">
        <v>32</v>
      </c>
      <c r="L964">
        <v>55</v>
      </c>
      <c r="M964" t="str">
        <f t="shared" si="15"/>
        <v>middle age</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invalid</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invalid</v>
      </c>
      <c r="N981" t="s">
        <v>18</v>
      </c>
    </row>
    <row r="982" spans="1:14" x14ac:dyDescent="0.35">
      <c r="A982">
        <v>18594</v>
      </c>
      <c r="B982" t="s">
        <v>37</v>
      </c>
      <c r="C982" t="s">
        <v>38</v>
      </c>
      <c r="D982" s="3">
        <v>80000</v>
      </c>
      <c r="E982">
        <v>3</v>
      </c>
      <c r="F982" t="s">
        <v>13</v>
      </c>
      <c r="G982" t="s">
        <v>14</v>
      </c>
      <c r="H982" t="s">
        <v>15</v>
      </c>
      <c r="I982">
        <v>3</v>
      </c>
      <c r="J982" t="s">
        <v>47</v>
      </c>
      <c r="K982" t="s">
        <v>32</v>
      </c>
      <c r="L982">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3">
        <v>60000</v>
      </c>
      <c r="E1001">
        <v>3</v>
      </c>
      <c r="F1001" t="s">
        <v>27</v>
      </c>
      <c r="G1001" t="s">
        <v>21</v>
      </c>
      <c r="H1001" t="s">
        <v>15</v>
      </c>
      <c r="I1001">
        <v>2</v>
      </c>
      <c r="J1001" t="s">
        <v>47</v>
      </c>
      <c r="K1001" t="s">
        <v>32</v>
      </c>
      <c r="L1001">
        <v>53</v>
      </c>
      <c r="M1001" t="str">
        <f t="shared" si="15"/>
        <v>middle age</v>
      </c>
      <c r="N1001" t="s">
        <v>15</v>
      </c>
    </row>
    <row r="1002" spans="1:14" x14ac:dyDescent="0.35">
      <c r="M1002" t="str">
        <f t="shared" si="15"/>
        <v>adolescent</v>
      </c>
    </row>
    <row r="1003" spans="1:14" x14ac:dyDescent="0.35">
      <c r="M1003" t="str">
        <f t="shared" si="15"/>
        <v>adolescent</v>
      </c>
    </row>
    <row r="1004" spans="1:14" x14ac:dyDescent="0.35">
      <c r="M1004" t="str">
        <f t="shared" si="15"/>
        <v>adolescent</v>
      </c>
    </row>
    <row r="1005" spans="1:14" x14ac:dyDescent="0.35">
      <c r="M1005" t="str">
        <f t="shared" si="15"/>
        <v>adolescent</v>
      </c>
    </row>
    <row r="1006" spans="1:14" x14ac:dyDescent="0.35">
      <c r="M1006" t="str">
        <f t="shared" si="15"/>
        <v>adolescent</v>
      </c>
    </row>
    <row r="1007" spans="1:14" x14ac:dyDescent="0.35">
      <c r="M1007" t="str">
        <f t="shared" si="15"/>
        <v>adolescent</v>
      </c>
    </row>
    <row r="1008" spans="1:14" x14ac:dyDescent="0.35">
      <c r="M1008" t="str">
        <f t="shared" si="15"/>
        <v>adolescent</v>
      </c>
    </row>
    <row r="1009" spans="13:13" x14ac:dyDescent="0.35">
      <c r="M1009" t="str">
        <f t="shared" si="15"/>
        <v>adolescent</v>
      </c>
    </row>
    <row r="1010" spans="13:13" x14ac:dyDescent="0.35">
      <c r="M1010" t="str">
        <f t="shared" si="15"/>
        <v>adolescent</v>
      </c>
    </row>
    <row r="1011" spans="13:13" x14ac:dyDescent="0.35">
      <c r="M1011" t="str">
        <f t="shared" si="15"/>
        <v>adolescent</v>
      </c>
    </row>
    <row r="1012" spans="13:13" x14ac:dyDescent="0.35">
      <c r="M1012" t="str">
        <f t="shared" si="15"/>
        <v>adolescent</v>
      </c>
    </row>
    <row r="1013" spans="13:13" x14ac:dyDescent="0.35">
      <c r="M1013" t="str">
        <f t="shared" si="15"/>
        <v>adolescent</v>
      </c>
    </row>
    <row r="1014" spans="13:13" x14ac:dyDescent="0.35">
      <c r="M1014" t="str">
        <f t="shared" si="15"/>
        <v>adolescent</v>
      </c>
    </row>
    <row r="1015" spans="13:13" x14ac:dyDescent="0.35">
      <c r="M1015" t="str">
        <f t="shared" si="15"/>
        <v>adolescent</v>
      </c>
    </row>
    <row r="1016" spans="13:13" x14ac:dyDescent="0.35">
      <c r="M1016" t="str">
        <f t="shared" si="15"/>
        <v>adolescent</v>
      </c>
    </row>
    <row r="1017" spans="13:13" x14ac:dyDescent="0.35">
      <c r="M1017" t="str">
        <f t="shared" si="15"/>
        <v>adolescent</v>
      </c>
    </row>
    <row r="1018" spans="13:13" x14ac:dyDescent="0.35">
      <c r="M1018" t="str">
        <f t="shared" si="15"/>
        <v>adolescent</v>
      </c>
    </row>
    <row r="1019" spans="13:13" x14ac:dyDescent="0.35">
      <c r="M1019" t="str">
        <f t="shared" si="15"/>
        <v>adolescent</v>
      </c>
    </row>
    <row r="1020" spans="13:13" x14ac:dyDescent="0.35">
      <c r="M1020" t="str">
        <f t="shared" si="15"/>
        <v>adolescent</v>
      </c>
    </row>
    <row r="1021" spans="13:13" x14ac:dyDescent="0.35">
      <c r="M1021" t="str">
        <f t="shared" si="15"/>
        <v>adolescent</v>
      </c>
    </row>
    <row r="1022" spans="13:13" x14ac:dyDescent="0.35">
      <c r="M1022" t="str">
        <f t="shared" si="15"/>
        <v>adolescent</v>
      </c>
    </row>
    <row r="1023" spans="13:13" x14ac:dyDescent="0.35">
      <c r="M1023" t="str">
        <f t="shared" si="15"/>
        <v>adolescent</v>
      </c>
    </row>
    <row r="1024" spans="13:13" x14ac:dyDescent="0.35">
      <c r="M1024" t="str">
        <f t="shared" si="15"/>
        <v>adolescent</v>
      </c>
    </row>
    <row r="1025" spans="13:13" x14ac:dyDescent="0.35">
      <c r="M1025" t="str">
        <f t="shared" si="15"/>
        <v>adolescent</v>
      </c>
    </row>
    <row r="1026" spans="13:13" x14ac:dyDescent="0.35">
      <c r="M1026" t="str">
        <f t="shared" si="15"/>
        <v>adolescent</v>
      </c>
    </row>
    <row r="1027" spans="13:13" x14ac:dyDescent="0.35">
      <c r="M1027" t="str">
        <f t="shared" ref="M1027" si="16">IF(L1027&gt;55,"old",IF(L1027&gt;31,"middle age",IF(L1027&lt;31,"adolescent","invalid")))</f>
        <v>adolescent</v>
      </c>
    </row>
  </sheetData>
  <autoFilter ref="A1:N1027" xr:uid="{154A6885-11C1-4328-BA5D-A612F4F04A6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96682-D7DD-4CFE-88A8-A15CF7F279FB}">
  <dimension ref="A1:E117"/>
  <sheetViews>
    <sheetView zoomScale="32" workbookViewId="0">
      <selection activeCell="S81" sqref="S81"/>
    </sheetView>
  </sheetViews>
  <sheetFormatPr defaultRowHeight="14.5" x14ac:dyDescent="0.35"/>
  <cols>
    <col min="1" max="1" width="21.54296875" bestFit="1" customWidth="1"/>
    <col min="2" max="2" width="16.90625" bestFit="1" customWidth="1"/>
    <col min="3" max="3" width="4.08984375" bestFit="1" customWidth="1"/>
    <col min="4" max="5" width="10.7265625" bestFit="1" customWidth="1"/>
  </cols>
  <sheetData>
    <row r="1" spans="1:5" x14ac:dyDescent="0.35">
      <c r="A1" s="7" t="s">
        <v>45</v>
      </c>
      <c r="B1" s="7" t="s">
        <v>44</v>
      </c>
      <c r="C1" s="3"/>
    </row>
    <row r="2" spans="1:5" x14ac:dyDescent="0.35">
      <c r="A2" s="7" t="s">
        <v>42</v>
      </c>
      <c r="B2" s="3" t="s">
        <v>15</v>
      </c>
      <c r="C2" s="3" t="s">
        <v>43</v>
      </c>
    </row>
    <row r="3" spans="1:5" x14ac:dyDescent="0.35">
      <c r="A3" s="8" t="s">
        <v>38</v>
      </c>
      <c r="B3" s="3">
        <v>55876.288659793812</v>
      </c>
      <c r="C3" s="3">
        <v>55876.288659793812</v>
      </c>
    </row>
    <row r="4" spans="1:5" x14ac:dyDescent="0.35">
      <c r="A4" s="8" t="s">
        <v>39</v>
      </c>
      <c r="B4" s="3">
        <v>60333.333333333336</v>
      </c>
      <c r="C4" s="3">
        <v>60333.333333333336</v>
      </c>
    </row>
    <row r="5" spans="1:5" x14ac:dyDescent="0.35">
      <c r="A5" s="8" t="s">
        <v>43</v>
      </c>
      <c r="B5" s="3">
        <v>58021.390374331553</v>
      </c>
      <c r="C5" s="3">
        <v>58021.390374331553</v>
      </c>
    </row>
    <row r="16" spans="1:5" x14ac:dyDescent="0.35">
      <c r="E16" s="3"/>
    </row>
    <row r="25" spans="1:4" x14ac:dyDescent="0.35">
      <c r="A25" s="5" t="s">
        <v>46</v>
      </c>
      <c r="B25" s="5" t="s">
        <v>44</v>
      </c>
    </row>
    <row r="26" spans="1:4" x14ac:dyDescent="0.35">
      <c r="A26" s="5" t="s">
        <v>42</v>
      </c>
      <c r="B26" t="s">
        <v>18</v>
      </c>
      <c r="C26" t="s">
        <v>15</v>
      </c>
      <c r="D26" t="s">
        <v>43</v>
      </c>
    </row>
    <row r="27" spans="1:4" x14ac:dyDescent="0.35">
      <c r="A27" s="6" t="s">
        <v>16</v>
      </c>
      <c r="B27" s="4">
        <v>59</v>
      </c>
      <c r="C27" s="4">
        <v>102</v>
      </c>
      <c r="D27" s="4">
        <v>161</v>
      </c>
    </row>
    <row r="28" spans="1:4" x14ac:dyDescent="0.35">
      <c r="A28" s="6" t="s">
        <v>26</v>
      </c>
      <c r="B28" s="4">
        <v>42</v>
      </c>
      <c r="C28" s="4">
        <v>39</v>
      </c>
      <c r="D28" s="4">
        <v>81</v>
      </c>
    </row>
    <row r="29" spans="1:4" x14ac:dyDescent="0.35">
      <c r="A29" s="6" t="s">
        <v>22</v>
      </c>
      <c r="B29" s="4">
        <v>30</v>
      </c>
      <c r="C29" s="4">
        <v>51</v>
      </c>
      <c r="D29" s="4">
        <v>81</v>
      </c>
    </row>
    <row r="30" spans="1:4" x14ac:dyDescent="0.35">
      <c r="A30" s="6" t="s">
        <v>23</v>
      </c>
      <c r="B30" s="4">
        <v>53</v>
      </c>
      <c r="C30" s="4">
        <v>38</v>
      </c>
      <c r="D30" s="4">
        <v>91</v>
      </c>
    </row>
    <row r="31" spans="1:4" x14ac:dyDescent="0.35">
      <c r="A31" s="6" t="s">
        <v>47</v>
      </c>
      <c r="B31" s="4">
        <v>28</v>
      </c>
      <c r="C31" s="4">
        <v>20</v>
      </c>
      <c r="D31" s="4">
        <v>48</v>
      </c>
    </row>
    <row r="32" spans="1:4" x14ac:dyDescent="0.35">
      <c r="A32" s="6" t="s">
        <v>43</v>
      </c>
      <c r="B32" s="4">
        <v>212</v>
      </c>
      <c r="C32" s="4">
        <v>250</v>
      </c>
      <c r="D32" s="4">
        <v>462</v>
      </c>
    </row>
    <row r="43" spans="1:4" x14ac:dyDescent="0.35">
      <c r="A43" s="5" t="s">
        <v>46</v>
      </c>
      <c r="B43" s="5" t="s">
        <v>44</v>
      </c>
    </row>
    <row r="44" spans="1:4" x14ac:dyDescent="0.35">
      <c r="A44" s="5" t="s">
        <v>42</v>
      </c>
      <c r="B44" t="s">
        <v>18</v>
      </c>
      <c r="C44" t="s">
        <v>15</v>
      </c>
      <c r="D44" t="s">
        <v>43</v>
      </c>
    </row>
    <row r="45" spans="1:4" x14ac:dyDescent="0.35">
      <c r="A45" s="6" t="s">
        <v>48</v>
      </c>
      <c r="B45" s="4">
        <v>47</v>
      </c>
      <c r="C45" s="4">
        <v>25</v>
      </c>
      <c r="D45" s="4">
        <v>72</v>
      </c>
    </row>
    <row r="46" spans="1:4" x14ac:dyDescent="0.35">
      <c r="A46" s="6" t="s">
        <v>49</v>
      </c>
      <c r="B46" s="4">
        <v>12</v>
      </c>
      <c r="C46" s="4">
        <v>8</v>
      </c>
      <c r="D46" s="4">
        <v>20</v>
      </c>
    </row>
    <row r="47" spans="1:4" x14ac:dyDescent="0.35">
      <c r="A47" s="6" t="s">
        <v>50</v>
      </c>
      <c r="B47" s="4">
        <v>121</v>
      </c>
      <c r="C47" s="4">
        <v>191</v>
      </c>
      <c r="D47" s="4">
        <v>312</v>
      </c>
    </row>
    <row r="48" spans="1:4" x14ac:dyDescent="0.35">
      <c r="A48" s="6" t="s">
        <v>51</v>
      </c>
      <c r="B48" s="4">
        <v>32</v>
      </c>
      <c r="C48" s="4">
        <v>26</v>
      </c>
      <c r="D48" s="4">
        <v>58</v>
      </c>
    </row>
    <row r="49" spans="1:4" x14ac:dyDescent="0.35">
      <c r="A49" s="6" t="s">
        <v>43</v>
      </c>
      <c r="B49" s="4">
        <v>212</v>
      </c>
      <c r="C49" s="4">
        <v>250</v>
      </c>
      <c r="D49" s="4">
        <v>462</v>
      </c>
    </row>
    <row r="68" spans="1:4" x14ac:dyDescent="0.35">
      <c r="A68" s="5" t="s">
        <v>46</v>
      </c>
      <c r="B68" s="5" t="s">
        <v>44</v>
      </c>
    </row>
    <row r="69" spans="1:4" x14ac:dyDescent="0.35">
      <c r="A69" s="5" t="s">
        <v>42</v>
      </c>
      <c r="B69" t="s">
        <v>18</v>
      </c>
      <c r="C69" t="s">
        <v>15</v>
      </c>
      <c r="D69" t="s">
        <v>43</v>
      </c>
    </row>
    <row r="70" spans="1:4" x14ac:dyDescent="0.35">
      <c r="A70" s="6">
        <v>25</v>
      </c>
      <c r="B70" s="4">
        <v>1</v>
      </c>
      <c r="C70" s="4">
        <v>2</v>
      </c>
      <c r="D70" s="4">
        <v>3</v>
      </c>
    </row>
    <row r="71" spans="1:4" x14ac:dyDescent="0.35">
      <c r="A71" s="6">
        <v>26</v>
      </c>
      <c r="B71" s="4">
        <v>7</v>
      </c>
      <c r="C71" s="4">
        <v>4</v>
      </c>
      <c r="D71" s="4">
        <v>11</v>
      </c>
    </row>
    <row r="72" spans="1:4" x14ac:dyDescent="0.35">
      <c r="A72" s="6">
        <v>27</v>
      </c>
      <c r="B72" s="4">
        <v>9</v>
      </c>
      <c r="C72" s="4">
        <v>4</v>
      </c>
      <c r="D72" s="4">
        <v>13</v>
      </c>
    </row>
    <row r="73" spans="1:4" x14ac:dyDescent="0.35">
      <c r="A73" s="6">
        <v>28</v>
      </c>
      <c r="B73" s="4">
        <v>8</v>
      </c>
      <c r="C73" s="4">
        <v>7</v>
      </c>
      <c r="D73" s="4">
        <v>15</v>
      </c>
    </row>
    <row r="74" spans="1:4" x14ac:dyDescent="0.35">
      <c r="A74" s="6">
        <v>29</v>
      </c>
      <c r="B74" s="4">
        <v>7</v>
      </c>
      <c r="C74" s="4">
        <v>4</v>
      </c>
      <c r="D74" s="4">
        <v>11</v>
      </c>
    </row>
    <row r="75" spans="1:4" x14ac:dyDescent="0.35">
      <c r="A75" s="6">
        <v>30</v>
      </c>
      <c r="B75" s="4">
        <v>15</v>
      </c>
      <c r="C75" s="4">
        <v>4</v>
      </c>
      <c r="D75" s="4">
        <v>19</v>
      </c>
    </row>
    <row r="76" spans="1:4" x14ac:dyDescent="0.35">
      <c r="A76" s="6">
        <v>31</v>
      </c>
      <c r="B76" s="4">
        <v>12</v>
      </c>
      <c r="C76" s="4">
        <v>8</v>
      </c>
      <c r="D76" s="4">
        <v>20</v>
      </c>
    </row>
    <row r="77" spans="1:4" x14ac:dyDescent="0.35">
      <c r="A77" s="6">
        <v>32</v>
      </c>
      <c r="B77" s="4">
        <v>9</v>
      </c>
      <c r="C77" s="4">
        <v>6</v>
      </c>
      <c r="D77" s="4">
        <v>15</v>
      </c>
    </row>
    <row r="78" spans="1:4" x14ac:dyDescent="0.35">
      <c r="A78" s="6">
        <v>33</v>
      </c>
      <c r="B78" s="4">
        <v>5</v>
      </c>
      <c r="C78" s="4">
        <v>8</v>
      </c>
      <c r="D78" s="4">
        <v>13</v>
      </c>
    </row>
    <row r="79" spans="1:4" x14ac:dyDescent="0.35">
      <c r="A79" s="6">
        <v>34</v>
      </c>
      <c r="B79" s="4">
        <v>7</v>
      </c>
      <c r="C79" s="4">
        <v>8</v>
      </c>
      <c r="D79" s="4">
        <v>15</v>
      </c>
    </row>
    <row r="80" spans="1:4" x14ac:dyDescent="0.35">
      <c r="A80" s="6">
        <v>35</v>
      </c>
      <c r="B80" s="4">
        <v>10</v>
      </c>
      <c r="C80" s="4">
        <v>9</v>
      </c>
      <c r="D80" s="4">
        <v>19</v>
      </c>
    </row>
    <row r="81" spans="1:4" x14ac:dyDescent="0.35">
      <c r="A81" s="6">
        <v>36</v>
      </c>
      <c r="B81" s="4">
        <v>4</v>
      </c>
      <c r="C81" s="4">
        <v>17</v>
      </c>
      <c r="D81" s="4">
        <v>21</v>
      </c>
    </row>
    <row r="82" spans="1:4" x14ac:dyDescent="0.35">
      <c r="A82" s="6">
        <v>37</v>
      </c>
      <c r="B82" s="4">
        <v>1</v>
      </c>
      <c r="C82" s="4">
        <v>16</v>
      </c>
      <c r="D82" s="4">
        <v>17</v>
      </c>
    </row>
    <row r="83" spans="1:4" x14ac:dyDescent="0.35">
      <c r="A83" s="6">
        <v>38</v>
      </c>
      <c r="B83" s="4">
        <v>5</v>
      </c>
      <c r="C83" s="4">
        <v>19</v>
      </c>
      <c r="D83" s="4">
        <v>24</v>
      </c>
    </row>
    <row r="84" spans="1:4" x14ac:dyDescent="0.35">
      <c r="A84" s="6">
        <v>39</v>
      </c>
      <c r="B84" s="4">
        <v>4</v>
      </c>
      <c r="C84" s="4">
        <v>10</v>
      </c>
      <c r="D84" s="4">
        <v>14</v>
      </c>
    </row>
    <row r="85" spans="1:4" x14ac:dyDescent="0.35">
      <c r="A85" s="6">
        <v>40</v>
      </c>
      <c r="B85" s="4">
        <v>9</v>
      </c>
      <c r="C85" s="4">
        <v>8</v>
      </c>
      <c r="D85" s="4">
        <v>17</v>
      </c>
    </row>
    <row r="86" spans="1:4" x14ac:dyDescent="0.35">
      <c r="A86" s="6">
        <v>41</v>
      </c>
      <c r="B86" s="4">
        <v>3</v>
      </c>
      <c r="C86" s="4">
        <v>11</v>
      </c>
      <c r="D86" s="4">
        <v>14</v>
      </c>
    </row>
    <row r="87" spans="1:4" x14ac:dyDescent="0.35">
      <c r="A87" s="6">
        <v>42</v>
      </c>
      <c r="B87" s="4">
        <v>9</v>
      </c>
      <c r="C87" s="4">
        <v>7</v>
      </c>
      <c r="D87" s="4">
        <v>16</v>
      </c>
    </row>
    <row r="88" spans="1:4" x14ac:dyDescent="0.35">
      <c r="A88" s="6">
        <v>43</v>
      </c>
      <c r="B88" s="4">
        <v>7</v>
      </c>
      <c r="C88" s="4">
        <v>9</v>
      </c>
      <c r="D88" s="4">
        <v>16</v>
      </c>
    </row>
    <row r="89" spans="1:4" x14ac:dyDescent="0.35">
      <c r="A89" s="6">
        <v>44</v>
      </c>
      <c r="B89" s="4">
        <v>7</v>
      </c>
      <c r="C89" s="4">
        <v>4</v>
      </c>
      <c r="D89" s="4">
        <v>11</v>
      </c>
    </row>
    <row r="90" spans="1:4" x14ac:dyDescent="0.35">
      <c r="A90" s="6">
        <v>45</v>
      </c>
      <c r="B90" s="4">
        <v>6</v>
      </c>
      <c r="C90" s="4">
        <v>5</v>
      </c>
      <c r="D90" s="4">
        <v>11</v>
      </c>
    </row>
    <row r="91" spans="1:4" x14ac:dyDescent="0.35">
      <c r="A91" s="6">
        <v>46</v>
      </c>
      <c r="B91" s="4"/>
      <c r="C91" s="4">
        <v>8</v>
      </c>
      <c r="D91" s="4">
        <v>8</v>
      </c>
    </row>
    <row r="92" spans="1:4" x14ac:dyDescent="0.35">
      <c r="A92" s="6">
        <v>47</v>
      </c>
      <c r="B92" s="4">
        <v>5</v>
      </c>
      <c r="C92" s="4">
        <v>11</v>
      </c>
      <c r="D92" s="4">
        <v>16</v>
      </c>
    </row>
    <row r="93" spans="1:4" x14ac:dyDescent="0.35">
      <c r="A93" s="6">
        <v>48</v>
      </c>
      <c r="B93" s="4">
        <v>6</v>
      </c>
      <c r="C93" s="4">
        <v>2</v>
      </c>
      <c r="D93" s="4">
        <v>8</v>
      </c>
    </row>
    <row r="94" spans="1:4" x14ac:dyDescent="0.35">
      <c r="A94" s="6">
        <v>49</v>
      </c>
      <c r="B94" s="4">
        <v>5</v>
      </c>
      <c r="C94" s="4">
        <v>3</v>
      </c>
      <c r="D94" s="4">
        <v>8</v>
      </c>
    </row>
    <row r="95" spans="1:4" x14ac:dyDescent="0.35">
      <c r="A95" s="6">
        <v>50</v>
      </c>
      <c r="B95" s="4">
        <v>7</v>
      </c>
      <c r="C95" s="4">
        <v>4</v>
      </c>
      <c r="D95" s="4">
        <v>11</v>
      </c>
    </row>
    <row r="96" spans="1:4" x14ac:dyDescent="0.35">
      <c r="A96" s="6">
        <v>51</v>
      </c>
      <c r="B96" s="4">
        <v>4</v>
      </c>
      <c r="C96" s="4">
        <v>5</v>
      </c>
      <c r="D96" s="4">
        <v>9</v>
      </c>
    </row>
    <row r="97" spans="1:4" x14ac:dyDescent="0.35">
      <c r="A97" s="6">
        <v>52</v>
      </c>
      <c r="B97" s="4">
        <v>4</v>
      </c>
      <c r="C97" s="4">
        <v>8</v>
      </c>
      <c r="D97" s="4">
        <v>12</v>
      </c>
    </row>
    <row r="98" spans="1:4" x14ac:dyDescent="0.35">
      <c r="A98" s="6">
        <v>53</v>
      </c>
      <c r="B98" s="4">
        <v>2</v>
      </c>
      <c r="C98" s="4">
        <v>8</v>
      </c>
      <c r="D98" s="4">
        <v>10</v>
      </c>
    </row>
    <row r="99" spans="1:4" x14ac:dyDescent="0.35">
      <c r="A99" s="6">
        <v>54</v>
      </c>
      <c r="B99" s="4"/>
      <c r="C99" s="4">
        <v>4</v>
      </c>
      <c r="D99" s="4">
        <v>4</v>
      </c>
    </row>
    <row r="100" spans="1:4" x14ac:dyDescent="0.35">
      <c r="A100" s="6">
        <v>55</v>
      </c>
      <c r="B100" s="4">
        <v>2</v>
      </c>
      <c r="C100" s="4">
        <v>1</v>
      </c>
      <c r="D100" s="4">
        <v>3</v>
      </c>
    </row>
    <row r="101" spans="1:4" x14ac:dyDescent="0.35">
      <c r="A101" s="6">
        <v>56</v>
      </c>
      <c r="B101" s="4">
        <v>5</v>
      </c>
      <c r="C101" s="4"/>
      <c r="D101" s="4">
        <v>5</v>
      </c>
    </row>
    <row r="102" spans="1:4" x14ac:dyDescent="0.35">
      <c r="A102" s="6">
        <v>57</v>
      </c>
      <c r="B102" s="4">
        <v>4</v>
      </c>
      <c r="C102" s="4"/>
      <c r="D102" s="4">
        <v>4</v>
      </c>
    </row>
    <row r="103" spans="1:4" x14ac:dyDescent="0.35">
      <c r="A103" s="6">
        <v>58</v>
      </c>
      <c r="B103" s="4">
        <v>2</v>
      </c>
      <c r="C103" s="4">
        <v>2</v>
      </c>
      <c r="D103" s="4">
        <v>4</v>
      </c>
    </row>
    <row r="104" spans="1:4" x14ac:dyDescent="0.35">
      <c r="A104" s="6">
        <v>59</v>
      </c>
      <c r="B104" s="4">
        <v>2</v>
      </c>
      <c r="C104" s="4">
        <v>4</v>
      </c>
      <c r="D104" s="4">
        <v>6</v>
      </c>
    </row>
    <row r="105" spans="1:4" x14ac:dyDescent="0.35">
      <c r="A105" s="6">
        <v>60</v>
      </c>
      <c r="B105" s="4"/>
      <c r="C105" s="4">
        <v>7</v>
      </c>
      <c r="D105" s="4">
        <v>7</v>
      </c>
    </row>
    <row r="106" spans="1:4" x14ac:dyDescent="0.35">
      <c r="A106" s="6">
        <v>61</v>
      </c>
      <c r="B106" s="4">
        <v>1</v>
      </c>
      <c r="C106" s="4">
        <v>1</v>
      </c>
      <c r="D106" s="4">
        <v>2</v>
      </c>
    </row>
    <row r="107" spans="1:4" x14ac:dyDescent="0.35">
      <c r="A107" s="6">
        <v>62</v>
      </c>
      <c r="B107" s="4">
        <v>4</v>
      </c>
      <c r="C107" s="4">
        <v>4</v>
      </c>
      <c r="D107" s="4">
        <v>8</v>
      </c>
    </row>
    <row r="108" spans="1:4" x14ac:dyDescent="0.35">
      <c r="A108" s="6">
        <v>63</v>
      </c>
      <c r="B108" s="4">
        <v>2</v>
      </c>
      <c r="C108" s="4">
        <v>1</v>
      </c>
      <c r="D108" s="4">
        <v>3</v>
      </c>
    </row>
    <row r="109" spans="1:4" x14ac:dyDescent="0.35">
      <c r="A109" s="6">
        <v>65</v>
      </c>
      <c r="B109" s="4">
        <v>1</v>
      </c>
      <c r="C109" s="4">
        <v>2</v>
      </c>
      <c r="D109" s="4">
        <v>3</v>
      </c>
    </row>
    <row r="110" spans="1:4" x14ac:dyDescent="0.35">
      <c r="A110" s="6">
        <v>66</v>
      </c>
      <c r="B110" s="4">
        <v>2</v>
      </c>
      <c r="C110" s="4">
        <v>2</v>
      </c>
      <c r="D110" s="4">
        <v>4</v>
      </c>
    </row>
    <row r="111" spans="1:4" x14ac:dyDescent="0.35">
      <c r="A111" s="6">
        <v>67</v>
      </c>
      <c r="B111" s="4">
        <v>4</v>
      </c>
      <c r="C111" s="4">
        <v>1</v>
      </c>
      <c r="D111" s="4">
        <v>5</v>
      </c>
    </row>
    <row r="112" spans="1:4" x14ac:dyDescent="0.35">
      <c r="A112" s="6">
        <v>68</v>
      </c>
      <c r="B112" s="4">
        <v>2</v>
      </c>
      <c r="C112" s="4"/>
      <c r="D112" s="4">
        <v>2</v>
      </c>
    </row>
    <row r="113" spans="1:4" x14ac:dyDescent="0.35">
      <c r="A113" s="6">
        <v>69</v>
      </c>
      <c r="B113" s="4">
        <v>1</v>
      </c>
      <c r="C113" s="4"/>
      <c r="D113" s="4">
        <v>1</v>
      </c>
    </row>
    <row r="114" spans="1:4" x14ac:dyDescent="0.35">
      <c r="A114" s="6">
        <v>73</v>
      </c>
      <c r="B114" s="4">
        <v>1</v>
      </c>
      <c r="C114" s="4">
        <v>1</v>
      </c>
      <c r="D114" s="4">
        <v>2</v>
      </c>
    </row>
    <row r="115" spans="1:4" x14ac:dyDescent="0.35">
      <c r="A115" s="6">
        <v>74</v>
      </c>
      <c r="B115" s="4"/>
      <c r="C115" s="4">
        <v>1</v>
      </c>
      <c r="D115" s="4">
        <v>1</v>
      </c>
    </row>
    <row r="116" spans="1:4" x14ac:dyDescent="0.35">
      <c r="A116" s="6">
        <v>78</v>
      </c>
      <c r="B116" s="4">
        <v>1</v>
      </c>
      <c r="C116" s="4"/>
      <c r="D116" s="4">
        <v>1</v>
      </c>
    </row>
    <row r="117" spans="1:4" x14ac:dyDescent="0.35">
      <c r="A117" s="6" t="s">
        <v>43</v>
      </c>
      <c r="B117" s="4">
        <v>212</v>
      </c>
      <c r="C117" s="4">
        <v>250</v>
      </c>
      <c r="D117" s="4">
        <v>462</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B2B51-FD8E-47CD-BCE4-6661D671A335}">
  <dimension ref="A1:V6"/>
  <sheetViews>
    <sheetView showGridLines="0" tabSelected="1" zoomScale="61" workbookViewId="0">
      <selection activeCell="Y16" sqref="Y16"/>
    </sheetView>
  </sheetViews>
  <sheetFormatPr defaultRowHeight="14.5" x14ac:dyDescent="0.35"/>
  <sheetData>
    <row r="1" spans="1:22" ht="14.5" customHeight="1" x14ac:dyDescent="0.35">
      <c r="A1" s="9" t="s">
        <v>52</v>
      </c>
      <c r="B1" s="9"/>
      <c r="C1" s="9"/>
      <c r="D1" s="9"/>
      <c r="E1" s="9"/>
      <c r="F1" s="9"/>
      <c r="G1" s="9"/>
      <c r="H1" s="9"/>
      <c r="I1" s="9"/>
      <c r="J1" s="9"/>
      <c r="K1" s="9"/>
      <c r="L1" s="9"/>
      <c r="M1" s="9"/>
      <c r="N1" s="9"/>
      <c r="O1" s="9"/>
      <c r="P1" s="9"/>
      <c r="Q1" s="9"/>
      <c r="R1" s="9"/>
      <c r="S1" s="9"/>
      <c r="T1" s="9"/>
      <c r="U1" s="9"/>
      <c r="V1" s="9"/>
    </row>
    <row r="2" spans="1:22" ht="14.5" customHeight="1" x14ac:dyDescent="0.35">
      <c r="A2" s="9"/>
      <c r="B2" s="9"/>
      <c r="C2" s="9"/>
      <c r="D2" s="9"/>
      <c r="E2" s="9"/>
      <c r="F2" s="9"/>
      <c r="G2" s="9"/>
      <c r="H2" s="9"/>
      <c r="I2" s="9"/>
      <c r="J2" s="9"/>
      <c r="K2" s="9"/>
      <c r="L2" s="9"/>
      <c r="M2" s="9"/>
      <c r="N2" s="9"/>
      <c r="O2" s="9"/>
      <c r="P2" s="9"/>
      <c r="Q2" s="9"/>
      <c r="R2" s="9"/>
      <c r="S2" s="9"/>
      <c r="T2" s="9"/>
      <c r="U2" s="9"/>
      <c r="V2" s="9"/>
    </row>
    <row r="3" spans="1:22" ht="14.5" customHeight="1" x14ac:dyDescent="0.35">
      <c r="A3" s="9"/>
      <c r="B3" s="9"/>
      <c r="C3" s="9"/>
      <c r="D3" s="9"/>
      <c r="E3" s="9"/>
      <c r="F3" s="9"/>
      <c r="G3" s="9"/>
      <c r="H3" s="9"/>
      <c r="I3" s="9"/>
      <c r="J3" s="9"/>
      <c r="K3" s="9"/>
      <c r="L3" s="9"/>
      <c r="M3" s="9"/>
      <c r="N3" s="9"/>
      <c r="O3" s="9"/>
      <c r="P3" s="9"/>
      <c r="Q3" s="9"/>
      <c r="R3" s="9"/>
      <c r="S3" s="9"/>
      <c r="T3" s="9"/>
      <c r="U3" s="9"/>
      <c r="V3" s="9"/>
    </row>
    <row r="4" spans="1:22" ht="14.5" customHeight="1" x14ac:dyDescent="0.35">
      <c r="A4" s="9"/>
      <c r="B4" s="9"/>
      <c r="C4" s="9"/>
      <c r="D4" s="9"/>
      <c r="E4" s="9"/>
      <c r="F4" s="9"/>
      <c r="G4" s="9"/>
      <c r="H4" s="9"/>
      <c r="I4" s="9"/>
      <c r="J4" s="9"/>
      <c r="K4" s="9"/>
      <c r="L4" s="9"/>
      <c r="M4" s="9"/>
      <c r="N4" s="9"/>
      <c r="O4" s="9"/>
      <c r="P4" s="9"/>
      <c r="Q4" s="9"/>
      <c r="R4" s="9"/>
      <c r="S4" s="9"/>
      <c r="T4" s="9"/>
      <c r="U4" s="9"/>
      <c r="V4" s="9"/>
    </row>
    <row r="5" spans="1:22" ht="14.5" customHeight="1" x14ac:dyDescent="0.35">
      <c r="A5" s="9"/>
      <c r="B5" s="9"/>
      <c r="C5" s="9"/>
      <c r="D5" s="9"/>
      <c r="E5" s="9"/>
      <c r="F5" s="9"/>
      <c r="G5" s="9"/>
      <c r="H5" s="9"/>
      <c r="I5" s="9"/>
      <c r="J5" s="9"/>
      <c r="K5" s="9"/>
      <c r="L5" s="9"/>
      <c r="M5" s="9"/>
      <c r="N5" s="9"/>
      <c r="O5" s="9"/>
      <c r="P5" s="9"/>
      <c r="Q5" s="9"/>
      <c r="R5" s="9"/>
      <c r="S5" s="9"/>
      <c r="T5" s="9"/>
      <c r="U5" s="9"/>
      <c r="V5" s="9"/>
    </row>
    <row r="6" spans="1:22" ht="14.5" customHeight="1" x14ac:dyDescent="0.35">
      <c r="A6" s="9"/>
      <c r="B6" s="9"/>
      <c r="C6" s="9"/>
      <c r="D6" s="9"/>
      <c r="E6" s="9"/>
      <c r="F6" s="9"/>
      <c r="G6" s="9"/>
      <c r="H6" s="9"/>
      <c r="I6" s="9"/>
      <c r="J6" s="9"/>
      <c r="K6" s="9"/>
      <c r="L6" s="9"/>
      <c r="M6" s="9"/>
      <c r="N6" s="9"/>
      <c r="O6" s="9"/>
      <c r="P6" s="9"/>
      <c r="Q6" s="9"/>
      <c r="R6" s="9"/>
      <c r="S6" s="9"/>
      <c r="T6" s="9"/>
      <c r="U6" s="9"/>
      <c r="V6" s="9"/>
    </row>
  </sheetData>
  <mergeCells count="1">
    <mergeCell ref="A1:V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soz mahmoud</cp:lastModifiedBy>
  <dcterms:created xsi:type="dcterms:W3CDTF">2022-03-18T02:50:57Z</dcterms:created>
  <dcterms:modified xsi:type="dcterms:W3CDTF">2026-09-07T23:31:30Z</dcterms:modified>
</cp:coreProperties>
</file>